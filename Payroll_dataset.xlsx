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18" i="1"/>
  <c r="K19" i="1"/>
  <c r="K20" i="1"/>
  <c r="K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J16" i="1"/>
  <c r="J17" i="1"/>
  <c r="J18" i="1"/>
  <c r="J19" i="1"/>
  <c r="J20" i="1"/>
  <c r="J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21" i="1"/>
  <c r="I16" i="1"/>
  <c r="I17" i="1"/>
  <c r="I18" i="1"/>
  <c r="I19" i="1"/>
  <c r="I20" i="1"/>
  <c r="I9" i="1"/>
  <c r="I10" i="1"/>
  <c r="I11" i="1"/>
  <c r="I12" i="1"/>
  <c r="I13" i="1"/>
  <c r="I14" i="1"/>
  <c r="I15" i="1"/>
  <c r="I3" i="1"/>
  <c r="I4" i="1"/>
  <c r="I5" i="1"/>
  <c r="I6" i="1"/>
  <c r="I7" i="1"/>
  <c r="I8" i="1"/>
  <c r="I2" i="1"/>
  <c r="H13" i="1"/>
  <c r="H14" i="1"/>
  <c r="H15" i="1"/>
  <c r="H16" i="1"/>
  <c r="H17" i="1"/>
  <c r="H18" i="1"/>
  <c r="H19" i="1"/>
  <c r="H20" i="1"/>
  <c r="H21" i="1"/>
  <c r="H3" i="1"/>
  <c r="H4" i="1"/>
  <c r="H5" i="1"/>
  <c r="H6" i="1"/>
  <c r="H7" i="1"/>
  <c r="H8" i="1"/>
  <c r="H9" i="1"/>
  <c r="H10" i="1"/>
  <c r="H11" i="1"/>
  <c r="H12" i="1"/>
  <c r="H2" i="1"/>
</calcChain>
</file>

<file path=xl/sharedStrings.xml><?xml version="1.0" encoding="utf-8"?>
<sst xmlns="http://schemas.openxmlformats.org/spreadsheetml/2006/main" count="53" uniqueCount="53">
  <si>
    <t>Employee_ID</t>
  </si>
  <si>
    <t>Employee_Name</t>
  </si>
  <si>
    <t>Basic_Salary</t>
  </si>
  <si>
    <t>HRA_Percent</t>
  </si>
  <si>
    <t>Bonus</t>
  </si>
  <si>
    <t>Tax_Percent</t>
  </si>
  <si>
    <t>PF_Percent</t>
  </si>
  <si>
    <t>E001</t>
  </si>
  <si>
    <t>Ravi</t>
  </si>
  <si>
    <t>E002</t>
  </si>
  <si>
    <t>Sneha</t>
  </si>
  <si>
    <t>E003</t>
  </si>
  <si>
    <t>Amit</t>
  </si>
  <si>
    <t>E004</t>
  </si>
  <si>
    <t>Divya</t>
  </si>
  <si>
    <t>E005</t>
  </si>
  <si>
    <t>Kiran</t>
  </si>
  <si>
    <t>E006</t>
  </si>
  <si>
    <t>Anjali</t>
  </si>
  <si>
    <t>E007</t>
  </si>
  <si>
    <t>Rahul</t>
  </si>
  <si>
    <t>E008</t>
  </si>
  <si>
    <t>Pooja</t>
  </si>
  <si>
    <t>E009</t>
  </si>
  <si>
    <t>Vikram</t>
  </si>
  <si>
    <t>E010</t>
  </si>
  <si>
    <t>Neha</t>
  </si>
  <si>
    <t>E011</t>
  </si>
  <si>
    <t>Arjun</t>
  </si>
  <si>
    <t>E012</t>
  </si>
  <si>
    <t>Meena</t>
  </si>
  <si>
    <t>E013</t>
  </si>
  <si>
    <t>Varun</t>
  </si>
  <si>
    <t>E014</t>
  </si>
  <si>
    <t>Kavya</t>
  </si>
  <si>
    <t>E015</t>
  </si>
  <si>
    <t>Suraj</t>
  </si>
  <si>
    <t>E016</t>
  </si>
  <si>
    <t>Nisha</t>
  </si>
  <si>
    <t>E017</t>
  </si>
  <si>
    <t>Ramesh</t>
  </si>
  <si>
    <t>E018</t>
  </si>
  <si>
    <t>Swathi</t>
  </si>
  <si>
    <t>E019</t>
  </si>
  <si>
    <t>Deepak</t>
  </si>
  <si>
    <t>E020</t>
  </si>
  <si>
    <t>Lakshmi</t>
  </si>
  <si>
    <t>HRA_Amount</t>
  </si>
  <si>
    <t>Tax_Amount</t>
  </si>
  <si>
    <t>PF_Amount</t>
  </si>
  <si>
    <t>Net_Salary</t>
  </si>
  <si>
    <t>System_Salary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</si>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</sst>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2" xfId="0" applyFont="1" applyFill="1" applyBorder="1" applyAlignment="1">
      <alignment vertical="center" wrapText="1"/>
    </xf>
    <xf numFmtId="0" fontId="0" fillId="0" borderId="3" xfId="0" applyBorder="1"/>
    <xf numFmtId="0" fontId="1" fillId="0" borderId="5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0" fillId="0" borderId="8" xfId="0" applyBorder="1"/>
    <xf numFmtId="9" fontId="0" fillId="0" borderId="8" xfId="0" applyNumberFormat="1" applyBorder="1"/>
    <xf numFmtId="0" fontId="0" fillId="0" borderId="3" xfId="0" applyFill="1" applyBorder="1"/>
    <xf numFmtId="0" fontId="0" fillId="0" borderId="4" xfId="0" applyFill="1" applyBorder="1"/>
    <xf numFmtId="0" fontId="0" fillId="0" borderId="6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O15" sqref="O15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7109375" bestFit="1" customWidth="1"/>
    <col min="4" max="4" width="12.5703125" bestFit="1" customWidth="1"/>
    <col min="5" max="5" width="6.42578125" bestFit="1" customWidth="1"/>
    <col min="6" max="6" width="11.85546875" bestFit="1" customWidth="1"/>
    <col min="7" max="7" width="11" bestFit="1" customWidth="1"/>
    <col min="8" max="8" width="12.85546875" bestFit="1" customWidth="1"/>
    <col min="9" max="9" width="12.140625" bestFit="1" customWidth="1"/>
    <col min="10" max="10" width="11.28515625" bestFit="1" customWidth="1"/>
    <col min="11" max="11" width="10.5703125" bestFit="1" customWidth="1"/>
    <col min="12" max="12" width="13.85546875" bestFit="1" customWidth="1"/>
    <col min="13" max="13" width="10.42578125" bestFit="1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10" t="s">
        <v>52</v>
      </c>
    </row>
    <row r="2" spans="1:13" x14ac:dyDescent="0.25">
      <c r="A2" s="5" t="s">
        <v>7</v>
      </c>
      <c r="B2" s="1" t="s">
        <v>8</v>
      </c>
      <c r="C2" s="1">
        <v>20000</v>
      </c>
      <c r="D2" s="2">
        <v>0.2</v>
      </c>
      <c r="E2" s="1">
        <v>2000</v>
      </c>
      <c r="F2" s="2">
        <v>0.1</v>
      </c>
      <c r="G2" s="2">
        <v>0.12</v>
      </c>
      <c r="H2" s="1">
        <f>C2*D2</f>
        <v>4000</v>
      </c>
      <c r="I2" s="1">
        <f>(C2+(H2)+E2)*F2</f>
        <v>2600</v>
      </c>
      <c r="J2" s="1">
        <f>C2*G2</f>
        <v>2400</v>
      </c>
      <c r="K2" s="1">
        <f>C2+(C2*D2)+E2-((C2+(C2*D2)+E2)*F2)-(C2*G2)</f>
        <v>21000</v>
      </c>
      <c r="L2" s="1">
        <f>C2+(C2*D2)+E2-((C2+E2)*F2)-(C2*G2)</f>
        <v>21400</v>
      </c>
      <c r="M2" s="11">
        <f xml:space="preserve"> ABS(K2-L2)</f>
        <v>400</v>
      </c>
    </row>
    <row r="3" spans="1:13" x14ac:dyDescent="0.25">
      <c r="A3" s="5" t="s">
        <v>9</v>
      </c>
      <c r="B3" s="1" t="s">
        <v>10</v>
      </c>
      <c r="C3" s="1">
        <v>25000</v>
      </c>
      <c r="D3" s="2">
        <v>0.25</v>
      </c>
      <c r="E3" s="1">
        <v>3000</v>
      </c>
      <c r="F3" s="2">
        <v>0.12</v>
      </c>
      <c r="G3" s="2">
        <v>0.1</v>
      </c>
      <c r="H3" s="1">
        <f t="shared" ref="H3:H21" si="0">C3*D3</f>
        <v>6250</v>
      </c>
      <c r="I3" s="1">
        <f t="shared" ref="I3:I20" si="1">(C3+(H3)+E3)*F3</f>
        <v>4110</v>
      </c>
      <c r="J3" s="1">
        <f t="shared" ref="J3:J21" si="2">C3*G3</f>
        <v>2500</v>
      </c>
      <c r="K3" s="1">
        <f t="shared" ref="K3:K21" si="3">C3+(C3*D3)+E3-((C3+(C3*D3)+E3)*F3)-(C3*G3)</f>
        <v>27640</v>
      </c>
      <c r="L3" s="1">
        <f t="shared" ref="L3:L21" si="4">C3+(C3*D3)+E3-((C3+E3)*F3)-(C3*G3)</f>
        <v>28390</v>
      </c>
      <c r="M3" s="11">
        <f t="shared" ref="M3:M21" si="5" xml:space="preserve"> ABS(K3-L3)</f>
        <v>750</v>
      </c>
    </row>
    <row r="4" spans="1:13" x14ac:dyDescent="0.25">
      <c r="A4" s="5" t="s">
        <v>11</v>
      </c>
      <c r="B4" s="1" t="s">
        <v>12</v>
      </c>
      <c r="C4" s="1">
        <v>18000</v>
      </c>
      <c r="D4" s="2">
        <v>0.2</v>
      </c>
      <c r="E4" s="1">
        <v>1500</v>
      </c>
      <c r="F4" s="2">
        <v>0.08</v>
      </c>
      <c r="G4" s="2">
        <v>0.12</v>
      </c>
      <c r="H4" s="1">
        <f t="shared" si="0"/>
        <v>3600</v>
      </c>
      <c r="I4" s="1">
        <f t="shared" si="1"/>
        <v>1848</v>
      </c>
      <c r="J4" s="1">
        <f t="shared" si="2"/>
        <v>2160</v>
      </c>
      <c r="K4" s="1">
        <f t="shared" si="3"/>
        <v>19092</v>
      </c>
      <c r="L4" s="1">
        <f t="shared" si="4"/>
        <v>19380</v>
      </c>
      <c r="M4" s="11">
        <f t="shared" si="5"/>
        <v>288</v>
      </c>
    </row>
    <row r="5" spans="1:13" x14ac:dyDescent="0.25">
      <c r="A5" s="5" t="s">
        <v>13</v>
      </c>
      <c r="B5" s="1" t="s">
        <v>14</v>
      </c>
      <c r="C5" s="1">
        <v>30000</v>
      </c>
      <c r="D5" s="2">
        <v>0.3</v>
      </c>
      <c r="E5" s="1">
        <v>4000</v>
      </c>
      <c r="F5" s="2">
        <v>0.15</v>
      </c>
      <c r="G5" s="2">
        <v>0.1</v>
      </c>
      <c r="H5" s="1">
        <f t="shared" si="0"/>
        <v>9000</v>
      </c>
      <c r="I5" s="1">
        <f t="shared" si="1"/>
        <v>6450</v>
      </c>
      <c r="J5" s="1">
        <f t="shared" si="2"/>
        <v>3000</v>
      </c>
      <c r="K5" s="1">
        <f t="shared" si="3"/>
        <v>33550</v>
      </c>
      <c r="L5" s="1">
        <f t="shared" si="4"/>
        <v>34900</v>
      </c>
      <c r="M5" s="11">
        <f t="shared" si="5"/>
        <v>1350</v>
      </c>
    </row>
    <row r="6" spans="1:13" x14ac:dyDescent="0.25">
      <c r="A6" s="5" t="s">
        <v>15</v>
      </c>
      <c r="B6" s="1" t="s">
        <v>16</v>
      </c>
      <c r="C6" s="1">
        <v>22000</v>
      </c>
      <c r="D6" s="2">
        <v>0.25</v>
      </c>
      <c r="E6" s="1">
        <v>2500</v>
      </c>
      <c r="F6" s="2">
        <v>0.1</v>
      </c>
      <c r="G6" s="2">
        <v>0.12</v>
      </c>
      <c r="H6" s="1">
        <f t="shared" si="0"/>
        <v>5500</v>
      </c>
      <c r="I6" s="1">
        <f t="shared" si="1"/>
        <v>3000</v>
      </c>
      <c r="J6" s="1">
        <f t="shared" si="2"/>
        <v>2640</v>
      </c>
      <c r="K6" s="1">
        <f t="shared" si="3"/>
        <v>24360</v>
      </c>
      <c r="L6" s="1">
        <f t="shared" si="4"/>
        <v>24910</v>
      </c>
      <c r="M6" s="11">
        <f t="shared" si="5"/>
        <v>550</v>
      </c>
    </row>
    <row r="7" spans="1:13" x14ac:dyDescent="0.25">
      <c r="A7" s="5" t="s">
        <v>17</v>
      </c>
      <c r="B7" s="1" t="s">
        <v>18</v>
      </c>
      <c r="C7" s="1">
        <v>27000</v>
      </c>
      <c r="D7" s="2">
        <v>0.2</v>
      </c>
      <c r="E7" s="1">
        <v>3500</v>
      </c>
      <c r="F7" s="2">
        <v>0.12</v>
      </c>
      <c r="G7" s="2">
        <v>0.1</v>
      </c>
      <c r="H7" s="1">
        <f t="shared" si="0"/>
        <v>5400</v>
      </c>
      <c r="I7" s="1">
        <f t="shared" si="1"/>
        <v>4308</v>
      </c>
      <c r="J7" s="1">
        <f t="shared" si="2"/>
        <v>2700</v>
      </c>
      <c r="K7" s="1">
        <f t="shared" si="3"/>
        <v>28892</v>
      </c>
      <c r="L7" s="1">
        <f t="shared" si="4"/>
        <v>29540</v>
      </c>
      <c r="M7" s="11">
        <f t="shared" si="5"/>
        <v>648</v>
      </c>
    </row>
    <row r="8" spans="1:13" x14ac:dyDescent="0.25">
      <c r="A8" s="5" t="s">
        <v>19</v>
      </c>
      <c r="B8" s="1" t="s">
        <v>20</v>
      </c>
      <c r="C8" s="1">
        <v>35000</v>
      </c>
      <c r="D8" s="2">
        <v>0.3</v>
      </c>
      <c r="E8" s="1">
        <v>5000</v>
      </c>
      <c r="F8" s="2">
        <v>0.18</v>
      </c>
      <c r="G8" s="2">
        <v>0.12</v>
      </c>
      <c r="H8" s="1">
        <f t="shared" si="0"/>
        <v>10500</v>
      </c>
      <c r="I8" s="1">
        <f t="shared" si="1"/>
        <v>9090</v>
      </c>
      <c r="J8" s="1">
        <f t="shared" si="2"/>
        <v>4200</v>
      </c>
      <c r="K8" s="1">
        <f t="shared" si="3"/>
        <v>37210</v>
      </c>
      <c r="L8" s="1">
        <f t="shared" si="4"/>
        <v>39100</v>
      </c>
      <c r="M8" s="11">
        <f t="shared" si="5"/>
        <v>1890</v>
      </c>
    </row>
    <row r="9" spans="1:13" x14ac:dyDescent="0.25">
      <c r="A9" s="5" t="s">
        <v>21</v>
      </c>
      <c r="B9" s="1" t="s">
        <v>22</v>
      </c>
      <c r="C9" s="1">
        <v>16000</v>
      </c>
      <c r="D9" s="2">
        <v>0.2</v>
      </c>
      <c r="E9" s="1">
        <v>1200</v>
      </c>
      <c r="F9" s="2">
        <v>0.08</v>
      </c>
      <c r="G9" s="2">
        <v>0.1</v>
      </c>
      <c r="H9" s="1">
        <f t="shared" si="0"/>
        <v>3200</v>
      </c>
      <c r="I9" s="1">
        <f>(C9+(H9)+E9)*F9</f>
        <v>1632</v>
      </c>
      <c r="J9" s="1">
        <f t="shared" si="2"/>
        <v>1600</v>
      </c>
      <c r="K9" s="1">
        <f t="shared" si="3"/>
        <v>17168</v>
      </c>
      <c r="L9" s="1">
        <f t="shared" si="4"/>
        <v>17424</v>
      </c>
      <c r="M9" s="11">
        <f t="shared" si="5"/>
        <v>256</v>
      </c>
    </row>
    <row r="10" spans="1:13" x14ac:dyDescent="0.25">
      <c r="A10" s="5" t="s">
        <v>23</v>
      </c>
      <c r="B10" s="1" t="s">
        <v>24</v>
      </c>
      <c r="C10" s="1">
        <v>28000</v>
      </c>
      <c r="D10" s="2">
        <v>0.25</v>
      </c>
      <c r="E10" s="1">
        <v>3000</v>
      </c>
      <c r="F10" s="2">
        <v>0.14000000000000001</v>
      </c>
      <c r="G10" s="2">
        <v>0.12</v>
      </c>
      <c r="H10" s="1">
        <f t="shared" si="0"/>
        <v>7000</v>
      </c>
      <c r="I10" s="1">
        <f t="shared" si="1"/>
        <v>5320.0000000000009</v>
      </c>
      <c r="J10" s="1">
        <f t="shared" si="2"/>
        <v>3360</v>
      </c>
      <c r="K10" s="1">
        <f t="shared" si="3"/>
        <v>29320</v>
      </c>
      <c r="L10" s="1">
        <f t="shared" si="4"/>
        <v>30300</v>
      </c>
      <c r="M10" s="11">
        <f t="shared" si="5"/>
        <v>980</v>
      </c>
    </row>
    <row r="11" spans="1:13" x14ac:dyDescent="0.25">
      <c r="A11" s="5" t="s">
        <v>25</v>
      </c>
      <c r="B11" s="1" t="s">
        <v>26</v>
      </c>
      <c r="C11" s="1">
        <v>24000</v>
      </c>
      <c r="D11" s="2">
        <v>0.2</v>
      </c>
      <c r="E11" s="1">
        <v>2000</v>
      </c>
      <c r="F11" s="2">
        <v>0.1</v>
      </c>
      <c r="G11" s="2">
        <v>0.1</v>
      </c>
      <c r="H11" s="1">
        <f t="shared" si="0"/>
        <v>4800</v>
      </c>
      <c r="I11" s="1">
        <f t="shared" si="1"/>
        <v>3080</v>
      </c>
      <c r="J11" s="1">
        <f t="shared" si="2"/>
        <v>2400</v>
      </c>
      <c r="K11" s="1">
        <f t="shared" si="3"/>
        <v>25320</v>
      </c>
      <c r="L11" s="1">
        <f t="shared" si="4"/>
        <v>25800</v>
      </c>
      <c r="M11" s="11">
        <f t="shared" si="5"/>
        <v>480</v>
      </c>
    </row>
    <row r="12" spans="1:13" x14ac:dyDescent="0.25">
      <c r="A12" s="5" t="s">
        <v>27</v>
      </c>
      <c r="B12" s="1" t="s">
        <v>28</v>
      </c>
      <c r="C12" s="1">
        <v>26000</v>
      </c>
      <c r="D12" s="2">
        <v>0.25</v>
      </c>
      <c r="E12" s="1">
        <v>3200</v>
      </c>
      <c r="F12" s="2">
        <v>0.12</v>
      </c>
      <c r="G12" s="2">
        <v>0.12</v>
      </c>
      <c r="H12" s="1">
        <f t="shared" si="0"/>
        <v>6500</v>
      </c>
      <c r="I12" s="1">
        <f t="shared" si="1"/>
        <v>4284</v>
      </c>
      <c r="J12" s="1">
        <f t="shared" si="2"/>
        <v>3120</v>
      </c>
      <c r="K12" s="1">
        <f t="shared" si="3"/>
        <v>28296</v>
      </c>
      <c r="L12" s="1">
        <f t="shared" si="4"/>
        <v>29076</v>
      </c>
      <c r="M12" s="11">
        <f t="shared" si="5"/>
        <v>780</v>
      </c>
    </row>
    <row r="13" spans="1:13" x14ac:dyDescent="0.25">
      <c r="A13" s="5" t="s">
        <v>29</v>
      </c>
      <c r="B13" s="1" t="s">
        <v>30</v>
      </c>
      <c r="C13" s="1">
        <v>21000</v>
      </c>
      <c r="D13" s="2">
        <v>0.2</v>
      </c>
      <c r="E13" s="1">
        <v>1800</v>
      </c>
      <c r="F13" s="2">
        <v>0.09</v>
      </c>
      <c r="G13" s="2">
        <v>0.1</v>
      </c>
      <c r="H13" s="1">
        <f>C13*D13</f>
        <v>4200</v>
      </c>
      <c r="I13" s="1">
        <f t="shared" si="1"/>
        <v>2430</v>
      </c>
      <c r="J13" s="1">
        <f t="shared" si="2"/>
        <v>2100</v>
      </c>
      <c r="K13" s="1">
        <f t="shared" si="3"/>
        <v>22470</v>
      </c>
      <c r="L13" s="1">
        <f t="shared" si="4"/>
        <v>22848</v>
      </c>
      <c r="M13" s="11">
        <f t="shared" si="5"/>
        <v>378</v>
      </c>
    </row>
    <row r="14" spans="1:13" x14ac:dyDescent="0.25">
      <c r="A14" s="5" t="s">
        <v>31</v>
      </c>
      <c r="B14" s="1" t="s">
        <v>32</v>
      </c>
      <c r="C14" s="1">
        <v>33000</v>
      </c>
      <c r="D14" s="2">
        <v>0.3</v>
      </c>
      <c r="E14" s="1">
        <v>4500</v>
      </c>
      <c r="F14" s="2">
        <v>0.16</v>
      </c>
      <c r="G14" s="2">
        <v>0.12</v>
      </c>
      <c r="H14" s="1">
        <f t="shared" si="0"/>
        <v>9900</v>
      </c>
      <c r="I14" s="1">
        <f t="shared" si="1"/>
        <v>7584</v>
      </c>
      <c r="J14" s="1">
        <f t="shared" si="2"/>
        <v>3960</v>
      </c>
      <c r="K14" s="1">
        <f t="shared" si="3"/>
        <v>35856</v>
      </c>
      <c r="L14" s="1">
        <f t="shared" si="4"/>
        <v>37440</v>
      </c>
      <c r="M14" s="11">
        <f t="shared" si="5"/>
        <v>1584</v>
      </c>
    </row>
    <row r="15" spans="1:13" x14ac:dyDescent="0.25">
      <c r="A15" s="5" t="s">
        <v>33</v>
      </c>
      <c r="B15" s="1" t="s">
        <v>34</v>
      </c>
      <c r="C15" s="1">
        <v>19000</v>
      </c>
      <c r="D15" s="2">
        <v>0.2</v>
      </c>
      <c r="E15" s="1">
        <v>1500</v>
      </c>
      <c r="F15" s="2">
        <v>0.08</v>
      </c>
      <c r="G15" s="2">
        <v>0.1</v>
      </c>
      <c r="H15" s="1">
        <f t="shared" si="0"/>
        <v>3800</v>
      </c>
      <c r="I15" s="1">
        <f t="shared" si="1"/>
        <v>1944</v>
      </c>
      <c r="J15" s="1">
        <f t="shared" si="2"/>
        <v>1900</v>
      </c>
      <c r="K15" s="1">
        <f t="shared" si="3"/>
        <v>20456</v>
      </c>
      <c r="L15" s="1">
        <f t="shared" si="4"/>
        <v>20760</v>
      </c>
      <c r="M15" s="11">
        <f t="shared" si="5"/>
        <v>304</v>
      </c>
    </row>
    <row r="16" spans="1:13" x14ac:dyDescent="0.25">
      <c r="A16" s="5" t="s">
        <v>35</v>
      </c>
      <c r="B16" s="1" t="s">
        <v>36</v>
      </c>
      <c r="C16" s="1">
        <v>31000</v>
      </c>
      <c r="D16" s="2">
        <v>0.25</v>
      </c>
      <c r="E16" s="1">
        <v>4000</v>
      </c>
      <c r="F16" s="2">
        <v>0.15</v>
      </c>
      <c r="G16" s="2">
        <v>0.12</v>
      </c>
      <c r="H16" s="1">
        <f t="shared" si="0"/>
        <v>7750</v>
      </c>
      <c r="I16" s="1">
        <f>(C16+(H16)+E16)*F16</f>
        <v>6412.5</v>
      </c>
      <c r="J16" s="1">
        <f>C16*G16</f>
        <v>3720</v>
      </c>
      <c r="K16" s="1">
        <f t="shared" si="3"/>
        <v>32617.5</v>
      </c>
      <c r="L16" s="1">
        <f t="shared" si="4"/>
        <v>33780</v>
      </c>
      <c r="M16" s="11">
        <f t="shared" si="5"/>
        <v>1162.5</v>
      </c>
    </row>
    <row r="17" spans="1:13" x14ac:dyDescent="0.25">
      <c r="A17" s="5" t="s">
        <v>37</v>
      </c>
      <c r="B17" s="1" t="s">
        <v>38</v>
      </c>
      <c r="C17" s="1">
        <v>23000</v>
      </c>
      <c r="D17" s="2">
        <v>0.2</v>
      </c>
      <c r="E17" s="1">
        <v>2200</v>
      </c>
      <c r="F17" s="2">
        <v>0.1</v>
      </c>
      <c r="G17" s="2">
        <v>0.1</v>
      </c>
      <c r="H17" s="1">
        <f t="shared" si="0"/>
        <v>4600</v>
      </c>
      <c r="I17" s="1">
        <f t="shared" si="1"/>
        <v>2980</v>
      </c>
      <c r="J17" s="1">
        <f t="shared" si="2"/>
        <v>2300</v>
      </c>
      <c r="K17" s="1">
        <f t="shared" si="3"/>
        <v>24520</v>
      </c>
      <c r="L17" s="1">
        <f t="shared" si="4"/>
        <v>24980</v>
      </c>
      <c r="M17" s="11">
        <f t="shared" si="5"/>
        <v>460</v>
      </c>
    </row>
    <row r="18" spans="1:13" x14ac:dyDescent="0.25">
      <c r="A18" s="5" t="s">
        <v>39</v>
      </c>
      <c r="B18" s="1" t="s">
        <v>40</v>
      </c>
      <c r="C18" s="1">
        <v>17000</v>
      </c>
      <c r="D18" s="2">
        <v>0.2</v>
      </c>
      <c r="E18" s="1">
        <v>1000</v>
      </c>
      <c r="F18" s="2">
        <v>7.0000000000000007E-2</v>
      </c>
      <c r="G18" s="2">
        <v>0.12</v>
      </c>
      <c r="H18" s="1">
        <f t="shared" si="0"/>
        <v>3400</v>
      </c>
      <c r="I18" s="1">
        <f t="shared" si="1"/>
        <v>1498.0000000000002</v>
      </c>
      <c r="J18" s="1">
        <f t="shared" si="2"/>
        <v>2040</v>
      </c>
      <c r="K18" s="1">
        <f>C18+(C18*D18)+E18-((C18+(C18*D18)+E18)*F18)-(C18*G18)</f>
        <v>17862</v>
      </c>
      <c r="L18" s="1">
        <f t="shared" si="4"/>
        <v>18100</v>
      </c>
      <c r="M18" s="11">
        <f t="shared" si="5"/>
        <v>238</v>
      </c>
    </row>
    <row r="19" spans="1:13" x14ac:dyDescent="0.25">
      <c r="A19" s="5" t="s">
        <v>41</v>
      </c>
      <c r="B19" s="1" t="s">
        <v>42</v>
      </c>
      <c r="C19" s="1">
        <v>29000</v>
      </c>
      <c r="D19" s="2">
        <v>0.25</v>
      </c>
      <c r="E19" s="1">
        <v>3500</v>
      </c>
      <c r="F19" s="2">
        <v>0.14000000000000001</v>
      </c>
      <c r="G19" s="2">
        <v>0.1</v>
      </c>
      <c r="H19" s="1">
        <f t="shared" si="0"/>
        <v>7250</v>
      </c>
      <c r="I19" s="1">
        <f t="shared" si="1"/>
        <v>5565.0000000000009</v>
      </c>
      <c r="J19" s="1">
        <f t="shared" si="2"/>
        <v>2900</v>
      </c>
      <c r="K19" s="1">
        <f t="shared" si="3"/>
        <v>31285</v>
      </c>
      <c r="L19" s="1">
        <f t="shared" si="4"/>
        <v>32300</v>
      </c>
      <c r="M19" s="11">
        <f t="shared" si="5"/>
        <v>1015</v>
      </c>
    </row>
    <row r="20" spans="1:13" x14ac:dyDescent="0.25">
      <c r="A20" s="5" t="s">
        <v>43</v>
      </c>
      <c r="B20" s="1" t="s">
        <v>44</v>
      </c>
      <c r="C20" s="1">
        <v>27000</v>
      </c>
      <c r="D20" s="2">
        <v>0.3</v>
      </c>
      <c r="E20" s="1">
        <v>3800</v>
      </c>
      <c r="F20" s="2">
        <v>0.13</v>
      </c>
      <c r="G20" s="2">
        <v>0.12</v>
      </c>
      <c r="H20" s="1">
        <f t="shared" si="0"/>
        <v>8100</v>
      </c>
      <c r="I20" s="1">
        <f t="shared" si="1"/>
        <v>5057</v>
      </c>
      <c r="J20" s="1">
        <f t="shared" si="2"/>
        <v>3240</v>
      </c>
      <c r="K20" s="1">
        <f t="shared" si="3"/>
        <v>30603</v>
      </c>
      <c r="L20" s="1">
        <f t="shared" si="4"/>
        <v>31656</v>
      </c>
      <c r="M20" s="11">
        <f t="shared" si="5"/>
        <v>1053</v>
      </c>
    </row>
    <row r="21" spans="1:13" ht="15.75" thickBot="1" x14ac:dyDescent="0.3">
      <c r="A21" s="6" t="s">
        <v>45</v>
      </c>
      <c r="B21" s="7" t="s">
        <v>46</v>
      </c>
      <c r="C21" s="7">
        <v>20000</v>
      </c>
      <c r="D21" s="8">
        <v>0.2</v>
      </c>
      <c r="E21" s="7">
        <v>2000</v>
      </c>
      <c r="F21" s="8">
        <v>0.1</v>
      </c>
      <c r="G21" s="8">
        <v>0.1</v>
      </c>
      <c r="H21" s="7">
        <f t="shared" si="0"/>
        <v>4000</v>
      </c>
      <c r="I21" s="7">
        <f>(C21+(H21)+E21)*F21</f>
        <v>2600</v>
      </c>
      <c r="J21" s="7">
        <f t="shared" si="2"/>
        <v>2000</v>
      </c>
      <c r="K21" s="7">
        <f t="shared" si="3"/>
        <v>21400</v>
      </c>
      <c r="L21" s="7">
        <f t="shared" si="4"/>
        <v>21800</v>
      </c>
      <c r="M21" s="12">
        <f t="shared" si="5"/>
        <v>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2026-03-26T13:43:27Z</dcterms:created>
  <dcterms:modified xsi:type="dcterms:W3CDTF">2026-04-02T07:48:10Z</dcterms:modified>
</cp:coreProperties>
</file>